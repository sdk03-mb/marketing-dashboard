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warya.nathani/Downloads/"/>
    </mc:Choice>
  </mc:AlternateContent>
  <xr:revisionPtr revIDLastSave="0" documentId="8_{845E25E3-12FC-EE44-A252-B9B206E07F5B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Ex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<sst xmlns="http://schemas.openxmlformats.org/spreadsheetml/2006/main" count="43" uniqueCount="43">
  <si>
    <t>Country</t>
  </si>
  <si>
    <t>Spent $</t>
  </si>
  <si>
    <t>CPC $</t>
  </si>
  <si>
    <t>CPL $</t>
  </si>
  <si>
    <t>CPA $</t>
  </si>
  <si>
    <t>CPFA $</t>
  </si>
  <si>
    <t>Average Account Size $</t>
  </si>
  <si>
    <t>Re-Deposit $</t>
  </si>
  <si>
    <t>Total NMI $</t>
  </si>
  <si>
    <t>ROI (NMI)</t>
  </si>
  <si>
    <t>KSA</t>
  </si>
  <si>
    <t>Pakistan</t>
  </si>
  <si>
    <t>Canada</t>
  </si>
  <si>
    <t>Turkey</t>
  </si>
  <si>
    <t>UAE</t>
  </si>
  <si>
    <t>Spain</t>
  </si>
  <si>
    <t>Germany</t>
  </si>
  <si>
    <t>Switzerland</t>
  </si>
  <si>
    <t>Netherlands</t>
  </si>
  <si>
    <t>Tunisia</t>
  </si>
  <si>
    <t>Poland</t>
  </si>
  <si>
    <t>Kazakhstan</t>
  </si>
  <si>
    <t>Qatar</t>
  </si>
  <si>
    <t>Oman</t>
  </si>
  <si>
    <t>Lebanon</t>
  </si>
  <si>
    <t>Jordan</t>
  </si>
  <si>
    <t>Greece</t>
  </si>
  <si>
    <t>Sweden</t>
  </si>
  <si>
    <t>Morocco</t>
  </si>
  <si>
    <t>Norway</t>
  </si>
  <si>
    <t>France</t>
  </si>
  <si>
    <t>Italy</t>
  </si>
  <si>
    <t>Argentina</t>
  </si>
  <si>
    <t>Mexico</t>
  </si>
  <si>
    <t>Peru</t>
  </si>
  <si>
    <t>South Africa</t>
  </si>
  <si>
    <t>Colombia</t>
  </si>
  <si>
    <t>Chile</t>
  </si>
  <si>
    <t>Syria</t>
  </si>
  <si>
    <t>Australia</t>
  </si>
  <si>
    <t>Other</t>
  </si>
  <si>
    <t>Total</t>
  </si>
  <si>
    <t>CPA / CPFA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</si>
</sst>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\$#,##0.00"/>
    <numFmt numFmtId="165" formatCode="0.00%;\-0.00%;0.00%"/>
    <numFmt numFmtId="166" formatCode="\$#,##0;\(\$#,##0\);\$#,##0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A35" sqref="A35:XFD35"/>
    </sheetView>
  </sheetViews>
  <sheetFormatPr baseColWidth="10" defaultRowHeight="16"/>
  <cols>
    <col min="7" max="7" width="11.6640625" customWidth="1"/>
    <col min="8" max="8" width="20.33203125" customWidth="1"/>
    <col min="9" max="9" width="14.83203125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42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t="s">
        <v>10</v>
      </c>
      <c r="B2" s="3">
        <v>14252.489999000003</v>
      </c>
      <c r="C2" s="3">
        <v>0.82431983799884345</v>
      </c>
      <c r="D2" s="5">
        <v>110.48441859689925</v>
      </c>
      <c r="E2" s="5">
        <v>268.91490564150951</v>
      </c>
      <c r="F2" s="3">
        <v>4750.8299996666674</v>
      </c>
      <c r="G2" s="3">
        <f>IFERROR(E2/F2, 0)</f>
        <v>5.6603773584905669E-2</v>
      </c>
      <c r="H2" s="3">
        <v>173.29999999999998</v>
      </c>
      <c r="I2">
        <v>0</v>
      </c>
      <c r="J2" s="3">
        <v>519.9</v>
      </c>
      <c r="K2" s="4">
        <v>3.6477836506917577E-2</v>
      </c>
    </row>
    <row r="3" spans="1:11">
      <c r="A3" t="s">
        <v>11</v>
      </c>
      <c r="B3" s="3">
        <v>7720.4</v>
      </c>
      <c r="C3" s="3">
        <v>0.31953975414924879</v>
      </c>
      <c r="D3" s="5">
        <v>22.640469208211144</v>
      </c>
      <c r="E3" s="5">
        <v>87.731818181818184</v>
      </c>
      <c r="F3" s="3">
        <v>7720.4</v>
      </c>
      <c r="G3" s="3">
        <f t="shared" ref="G3:G33" si="0">IFERROR(E3/F3, 0)</f>
        <v>1.1363636363636364E-2</v>
      </c>
      <c r="H3" s="3">
        <v>99.95</v>
      </c>
      <c r="I3">
        <v>0</v>
      </c>
      <c r="J3" s="3">
        <v>99.95</v>
      </c>
      <c r="K3" s="4">
        <v>1.2946220403087924E-2</v>
      </c>
    </row>
    <row r="4" spans="1:11">
      <c r="A4" t="s">
        <v>12</v>
      </c>
      <c r="B4" s="3">
        <v>7648.8410519999998</v>
      </c>
      <c r="C4" s="3">
        <v>4.0815587257203845</v>
      </c>
      <c r="D4" s="5">
        <v>103.36271691891892</v>
      </c>
      <c r="E4" s="5">
        <v>246.73680812903226</v>
      </c>
      <c r="F4" s="3">
        <v>2549.6136839999999</v>
      </c>
      <c r="G4" s="3">
        <f t="shared" si="0"/>
        <v>9.6774193548387094E-2</v>
      </c>
      <c r="H4" s="3">
        <v>337.95695685091499</v>
      </c>
      <c r="I4">
        <v>1658.5222398739002</v>
      </c>
      <c r="J4" s="3">
        <v>2527.5988269049553</v>
      </c>
      <c r="K4" s="4">
        <v>0.33045513819953742</v>
      </c>
    </row>
    <row r="5" spans="1:11">
      <c r="A5" t="s">
        <v>13</v>
      </c>
      <c r="B5" s="3">
        <v>6262.0599999999986</v>
      </c>
      <c r="C5" s="3">
        <v>1.1032522903453132</v>
      </c>
      <c r="D5" s="5">
        <v>62.000594059405927</v>
      </c>
      <c r="E5" s="5">
        <v>164.79105263157891</v>
      </c>
      <c r="F5" s="3">
        <v>0</v>
      </c>
      <c r="G5" s="3">
        <f t="shared" si="0"/>
        <v>0</v>
      </c>
      <c r="H5" s="3">
        <v>0</v>
      </c>
      <c r="I5">
        <v>0</v>
      </c>
      <c r="J5" s="3">
        <v>0</v>
      </c>
      <c r="K5" s="4">
        <v>0</v>
      </c>
    </row>
    <row r="6" spans="1:11">
      <c r="A6" t="s">
        <v>14</v>
      </c>
      <c r="B6" s="3">
        <v>4987.0200000000004</v>
      </c>
      <c r="C6" s="3">
        <v>1.8990936785986292</v>
      </c>
      <c r="D6" s="5">
        <v>311.68875000000003</v>
      </c>
      <c r="E6" s="5">
        <v>498.70200000000006</v>
      </c>
      <c r="F6" s="3">
        <v>1662.3400000000001</v>
      </c>
      <c r="G6" s="3">
        <f t="shared" si="0"/>
        <v>0.3</v>
      </c>
      <c r="H6" s="3">
        <v>3703.2369160997714</v>
      </c>
      <c r="I6">
        <v>43003.028435374203</v>
      </c>
      <c r="J6" s="3">
        <v>20541.612176870789</v>
      </c>
      <c r="K6" s="4">
        <v>4.1190153993508725</v>
      </c>
    </row>
    <row r="7" spans="1:11">
      <c r="A7" t="s">
        <v>15</v>
      </c>
      <c r="B7" s="3">
        <v>4553.099999</v>
      </c>
      <c r="C7" s="3">
        <v>3.5515600616224647</v>
      </c>
      <c r="D7" s="5">
        <v>108.40714283333334</v>
      </c>
      <c r="E7" s="5">
        <v>379.42499991666665</v>
      </c>
      <c r="F7" s="3">
        <v>0</v>
      </c>
      <c r="G7" s="3">
        <f t="shared" si="0"/>
        <v>0</v>
      </c>
      <c r="H7" s="3">
        <v>0</v>
      </c>
      <c r="I7">
        <v>536.01361320000001</v>
      </c>
      <c r="J7" s="3">
        <v>536.01361320000001</v>
      </c>
      <c r="K7" s="4">
        <v>0.117724981510998</v>
      </c>
    </row>
    <row r="8" spans="1:11">
      <c r="A8" t="s">
        <v>16</v>
      </c>
      <c r="B8" s="3">
        <v>4310.6400000000012</v>
      </c>
      <c r="C8" s="3">
        <v>6.2292485549132968</v>
      </c>
      <c r="D8" s="5">
        <v>134.70750000000004</v>
      </c>
      <c r="E8" s="5">
        <v>359.22000000000008</v>
      </c>
      <c r="F8" s="3">
        <v>4310.6400000000012</v>
      </c>
      <c r="G8" s="3">
        <f t="shared" si="0"/>
        <v>8.3333333333333329E-2</v>
      </c>
      <c r="H8" s="3">
        <v>231.77600000000001</v>
      </c>
      <c r="I8">
        <v>0</v>
      </c>
      <c r="J8" s="3">
        <v>231.77600000000001</v>
      </c>
      <c r="K8" s="4">
        <v>5.3768349943395861E-2</v>
      </c>
    </row>
    <row r="9" spans="1:11">
      <c r="A9" t="s">
        <v>17</v>
      </c>
      <c r="B9" s="3">
        <v>4237.8</v>
      </c>
      <c r="C9" s="3">
        <v>7.5810375670840786</v>
      </c>
      <c r="D9" s="5">
        <v>385.25454545454545</v>
      </c>
      <c r="E9" s="5">
        <v>2118.9</v>
      </c>
      <c r="F9" s="3">
        <v>0</v>
      </c>
      <c r="G9" s="3">
        <f t="shared" si="0"/>
        <v>0</v>
      </c>
      <c r="H9" s="3">
        <v>0</v>
      </c>
      <c r="I9">
        <v>0</v>
      </c>
      <c r="J9" s="3">
        <v>0</v>
      </c>
      <c r="K9" s="4">
        <v>0</v>
      </c>
    </row>
    <row r="10" spans="1:11">
      <c r="A10" t="s">
        <v>18</v>
      </c>
      <c r="B10" s="3">
        <v>3743.8899980000001</v>
      </c>
      <c r="C10" s="3">
        <v>5.1854432105263157</v>
      </c>
      <c r="D10" s="5">
        <v>249.59266653333333</v>
      </c>
      <c r="E10" s="5">
        <v>935.97249950000003</v>
      </c>
      <c r="F10" s="3">
        <v>0</v>
      </c>
      <c r="G10" s="3">
        <f t="shared" si="0"/>
        <v>0</v>
      </c>
      <c r="H10" s="3">
        <v>0</v>
      </c>
      <c r="I10">
        <v>0</v>
      </c>
      <c r="J10" s="3">
        <v>0</v>
      </c>
      <c r="K10" s="4">
        <v>0</v>
      </c>
    </row>
    <row r="11" spans="1:11">
      <c r="A11" t="s">
        <v>19</v>
      </c>
      <c r="B11" s="3">
        <v>3362.0199989999996</v>
      </c>
      <c r="C11" s="3">
        <v>0.22655121287061991</v>
      </c>
      <c r="D11" s="5">
        <v>22.870884346938773</v>
      </c>
      <c r="E11" s="5">
        <v>70.042083312499997</v>
      </c>
      <c r="F11" s="3">
        <v>0</v>
      </c>
      <c r="G11" s="3">
        <f t="shared" si="0"/>
        <v>0</v>
      </c>
      <c r="H11" s="3">
        <v>0</v>
      </c>
      <c r="I11">
        <v>0</v>
      </c>
      <c r="J11" s="3">
        <v>0</v>
      </c>
      <c r="K11" s="4">
        <v>0</v>
      </c>
    </row>
    <row r="12" spans="1:11">
      <c r="A12" t="s">
        <v>20</v>
      </c>
      <c r="B12" s="3">
        <v>3319.58</v>
      </c>
      <c r="C12" s="3">
        <v>3.6559251101321584</v>
      </c>
      <c r="D12" s="5">
        <v>195.26941176470586</v>
      </c>
      <c r="E12" s="5">
        <v>663.91599999999994</v>
      </c>
      <c r="F12" s="3">
        <v>0</v>
      </c>
      <c r="G12" s="3">
        <f t="shared" si="0"/>
        <v>0</v>
      </c>
      <c r="H12" s="3">
        <v>0</v>
      </c>
      <c r="I12">
        <v>0</v>
      </c>
      <c r="J12" s="3">
        <v>0</v>
      </c>
      <c r="K12" s="4">
        <v>0</v>
      </c>
    </row>
    <row r="13" spans="1:11">
      <c r="A13" t="s">
        <v>21</v>
      </c>
      <c r="B13" s="3">
        <v>3062.7699989999992</v>
      </c>
      <c r="C13" s="3">
        <v>2.5544370300250203</v>
      </c>
      <c r="D13" s="5">
        <v>105.61275858620687</v>
      </c>
      <c r="E13" s="5">
        <v>340.3077776666666</v>
      </c>
      <c r="F13" s="3">
        <v>0</v>
      </c>
      <c r="G13" s="3">
        <f t="shared" si="0"/>
        <v>0</v>
      </c>
      <c r="H13" s="3">
        <v>0</v>
      </c>
      <c r="I13">
        <v>0</v>
      </c>
      <c r="J13" s="3">
        <v>0</v>
      </c>
      <c r="K13" s="4">
        <v>0</v>
      </c>
    </row>
    <row r="14" spans="1:11">
      <c r="A14" t="s">
        <v>22</v>
      </c>
      <c r="B14" s="3">
        <v>1420.6599999999999</v>
      </c>
      <c r="C14" s="3">
        <v>0.98247579529737195</v>
      </c>
      <c r="D14" s="5">
        <v>109.28153846153845</v>
      </c>
      <c r="E14" s="5">
        <v>355.16499999999996</v>
      </c>
      <c r="F14" s="3">
        <v>1420.6599999999999</v>
      </c>
      <c r="G14" s="3">
        <f t="shared" si="0"/>
        <v>0.25</v>
      </c>
      <c r="H14" s="3">
        <v>50</v>
      </c>
      <c r="I14">
        <v>0</v>
      </c>
      <c r="J14" s="3">
        <v>31.73</v>
      </c>
      <c r="K14" s="4">
        <v>2.2334689510509202E-2</v>
      </c>
    </row>
    <row r="15" spans="1:11">
      <c r="A15" t="s">
        <v>23</v>
      </c>
      <c r="B15" s="3">
        <v>1398.1099999999997</v>
      </c>
      <c r="C15" s="3">
        <v>0.8104985507246375</v>
      </c>
      <c r="D15" s="5">
        <v>43.69093749999999</v>
      </c>
      <c r="E15" s="5">
        <v>139.81099999999998</v>
      </c>
      <c r="F15" s="3">
        <v>0</v>
      </c>
      <c r="G15" s="3">
        <f t="shared" si="0"/>
        <v>0</v>
      </c>
      <c r="H15" s="3">
        <v>0</v>
      </c>
      <c r="I15">
        <v>3260</v>
      </c>
      <c r="J15" s="3">
        <v>3260</v>
      </c>
      <c r="K15" s="4">
        <v>2.3317192495583328</v>
      </c>
    </row>
    <row r="16" spans="1:11">
      <c r="A16" t="s">
        <v>24</v>
      </c>
      <c r="B16" s="3">
        <v>1338.5699990000003</v>
      </c>
      <c r="C16" s="3">
        <v>0.61656840119760492</v>
      </c>
      <c r="D16" s="5">
        <v>83.660624937500017</v>
      </c>
      <c r="E16" s="5">
        <v>148.72999988888893</v>
      </c>
      <c r="F16" s="3">
        <v>0</v>
      </c>
      <c r="G16" s="3">
        <f t="shared" si="0"/>
        <v>0</v>
      </c>
      <c r="H16" s="3">
        <v>0</v>
      </c>
      <c r="I16">
        <v>0</v>
      </c>
      <c r="J16" s="3">
        <v>0</v>
      </c>
      <c r="K16" s="4">
        <v>0</v>
      </c>
    </row>
    <row r="17" spans="1:11">
      <c r="A17" t="s">
        <v>25</v>
      </c>
      <c r="B17" s="3">
        <v>1321.2928839999997</v>
      </c>
      <c r="C17" s="3">
        <v>0.58593919467849209</v>
      </c>
      <c r="D17" s="5">
        <v>32.226655707317065</v>
      </c>
      <c r="E17" s="5">
        <v>66.064644199999989</v>
      </c>
      <c r="F17" s="3">
        <v>264.25857679999996</v>
      </c>
      <c r="G17" s="3">
        <f t="shared" si="0"/>
        <v>0.25</v>
      </c>
      <c r="H17" s="3">
        <v>2857.3339999999998</v>
      </c>
      <c r="I17">
        <v>2925.98</v>
      </c>
      <c r="J17" s="3">
        <v>-19942.599999999999</v>
      </c>
      <c r="K17" s="4">
        <v>-15.093247107807782</v>
      </c>
    </row>
    <row r="18" spans="1:11">
      <c r="A18" t="s">
        <v>26</v>
      </c>
      <c r="B18" s="3">
        <v>1259.4200000000003</v>
      </c>
      <c r="C18" s="3">
        <v>1.7638935574229697</v>
      </c>
      <c r="D18" s="5">
        <v>179.91714285714289</v>
      </c>
      <c r="E18" s="5">
        <v>419.80666666666679</v>
      </c>
      <c r="F18" s="3">
        <v>0</v>
      </c>
      <c r="G18" s="3">
        <f t="shared" si="0"/>
        <v>0</v>
      </c>
      <c r="H18" s="3">
        <v>0</v>
      </c>
      <c r="I18">
        <v>0</v>
      </c>
      <c r="J18" s="3">
        <v>0</v>
      </c>
      <c r="K18" s="4">
        <v>0</v>
      </c>
    </row>
    <row r="19" spans="1:11">
      <c r="A19" t="s">
        <v>27</v>
      </c>
      <c r="B19" s="3">
        <v>1135.5700000000002</v>
      </c>
      <c r="C19" s="3">
        <v>6.8822424242424249</v>
      </c>
      <c r="D19" s="5">
        <v>189.26166666666668</v>
      </c>
      <c r="E19" s="5">
        <v>378.52333333333337</v>
      </c>
      <c r="F19" s="3">
        <v>0</v>
      </c>
      <c r="G19" s="3">
        <f t="shared" si="0"/>
        <v>0</v>
      </c>
      <c r="H19" s="3">
        <v>0</v>
      </c>
      <c r="I19">
        <v>0</v>
      </c>
      <c r="J19" s="3">
        <v>0</v>
      </c>
      <c r="K19" s="4">
        <v>0</v>
      </c>
    </row>
    <row r="20" spans="1:11">
      <c r="A20" t="s">
        <v>28</v>
      </c>
      <c r="B20" s="3">
        <v>1041.3400000000001</v>
      </c>
      <c r="C20" s="3">
        <v>0.2558574938574939</v>
      </c>
      <c r="D20" s="5">
        <v>9.4667272727272742</v>
      </c>
      <c r="E20" s="5">
        <v>34.711333333333336</v>
      </c>
      <c r="F20" s="3">
        <v>1041.3400000000001</v>
      </c>
      <c r="G20" s="3">
        <f t="shared" si="0"/>
        <v>3.3333333333333333E-2</v>
      </c>
      <c r="H20" s="3">
        <v>100</v>
      </c>
      <c r="I20">
        <v>0</v>
      </c>
      <c r="J20" s="3">
        <v>-302</v>
      </c>
      <c r="K20" s="4">
        <v>-0.29001094743311501</v>
      </c>
    </row>
    <row r="21" spans="1:11">
      <c r="A21" t="s">
        <v>29</v>
      </c>
      <c r="B21" s="3">
        <v>998.20999900000015</v>
      </c>
      <c r="C21" s="3">
        <v>7.5621969621212131</v>
      </c>
      <c r="D21" s="5">
        <v>998.20999900000015</v>
      </c>
      <c r="E21" s="5">
        <v>0</v>
      </c>
      <c r="F21" s="3">
        <v>0</v>
      </c>
      <c r="G21" s="3">
        <f t="shared" si="0"/>
        <v>0</v>
      </c>
      <c r="H21" s="3">
        <v>0</v>
      </c>
      <c r="I21">
        <v>0</v>
      </c>
      <c r="J21" s="3">
        <v>0</v>
      </c>
      <c r="K21" s="4">
        <v>0</v>
      </c>
    </row>
    <row r="22" spans="1:11">
      <c r="A22" t="s">
        <v>30</v>
      </c>
      <c r="B22" s="3">
        <v>622.28999899999997</v>
      </c>
      <c r="C22" s="3">
        <v>5.4586842017543855</v>
      </c>
      <c r="D22" s="5">
        <v>69.143333222222225</v>
      </c>
      <c r="E22" s="5">
        <v>124.4579998</v>
      </c>
      <c r="F22" s="3">
        <v>0</v>
      </c>
      <c r="G22" s="3">
        <f t="shared" si="0"/>
        <v>0</v>
      </c>
      <c r="H22" s="3">
        <v>0</v>
      </c>
      <c r="I22">
        <v>0</v>
      </c>
      <c r="J22" s="3">
        <v>0</v>
      </c>
      <c r="K22" s="4">
        <v>0</v>
      </c>
    </row>
    <row r="23" spans="1:11">
      <c r="A23" t="s">
        <v>31</v>
      </c>
      <c r="B23" s="3">
        <v>594.13999899999999</v>
      </c>
      <c r="C23" s="3">
        <v>3.1106806230366493</v>
      </c>
      <c r="D23" s="5">
        <v>118.8279998</v>
      </c>
      <c r="E23" s="5">
        <v>594.13999899999999</v>
      </c>
      <c r="F23" s="3">
        <v>0</v>
      </c>
      <c r="G23" s="3">
        <f t="shared" si="0"/>
        <v>0</v>
      </c>
      <c r="H23" s="3">
        <v>0</v>
      </c>
      <c r="I23">
        <v>0</v>
      </c>
      <c r="J23" s="3">
        <v>0</v>
      </c>
      <c r="K23" s="4">
        <v>0</v>
      </c>
    </row>
    <row r="24" spans="1:11">
      <c r="A24" t="s">
        <v>32</v>
      </c>
      <c r="B24" s="3">
        <v>593.19999999999993</v>
      </c>
      <c r="C24" s="3">
        <v>0.83081232492997192</v>
      </c>
      <c r="D24" s="5">
        <v>11.192452830188678</v>
      </c>
      <c r="E24" s="5">
        <v>49.43333333333333</v>
      </c>
      <c r="F24" s="3">
        <v>0</v>
      </c>
      <c r="G24" s="3">
        <f t="shared" si="0"/>
        <v>0</v>
      </c>
      <c r="H24" s="3">
        <v>0</v>
      </c>
      <c r="I24">
        <v>200</v>
      </c>
      <c r="J24" s="3">
        <v>200</v>
      </c>
      <c r="K24" s="4">
        <v>0.33715441672285912</v>
      </c>
    </row>
    <row r="25" spans="1:11">
      <c r="A25" t="s">
        <v>33</v>
      </c>
      <c r="B25" s="3">
        <v>591.86999600000001</v>
      </c>
      <c r="C25" s="3">
        <v>1.0048726587436334</v>
      </c>
      <c r="D25" s="5">
        <v>11.837399920000001</v>
      </c>
      <c r="E25" s="5">
        <v>53.806363272727275</v>
      </c>
      <c r="F25" s="3">
        <v>0</v>
      </c>
      <c r="G25" s="3">
        <f t="shared" si="0"/>
        <v>0</v>
      </c>
      <c r="H25" s="3">
        <v>0</v>
      </c>
      <c r="I25">
        <v>0</v>
      </c>
      <c r="J25" s="3">
        <v>0</v>
      </c>
      <c r="K25" s="4">
        <v>0</v>
      </c>
    </row>
    <row r="26" spans="1:11">
      <c r="A26" t="s">
        <v>34</v>
      </c>
      <c r="B26" s="3">
        <v>584.82544000000007</v>
      </c>
      <c r="C26" s="3">
        <v>0.80776994475138131</v>
      </c>
      <c r="D26" s="5">
        <v>22.493286153846157</v>
      </c>
      <c r="E26" s="5">
        <v>73.103180000000009</v>
      </c>
      <c r="F26" s="3">
        <v>0</v>
      </c>
      <c r="G26" s="3">
        <f t="shared" si="0"/>
        <v>0</v>
      </c>
      <c r="H26" s="3">
        <v>0</v>
      </c>
      <c r="I26">
        <v>0</v>
      </c>
      <c r="J26" s="3">
        <v>0</v>
      </c>
      <c r="K26" s="4">
        <v>0</v>
      </c>
    </row>
    <row r="27" spans="1:11">
      <c r="A27" t="s">
        <v>35</v>
      </c>
      <c r="B27" s="3">
        <v>573.45000000000005</v>
      </c>
      <c r="C27" s="3">
        <v>0.88495370370370374</v>
      </c>
      <c r="D27" s="5">
        <v>7.3519230769230779</v>
      </c>
      <c r="E27" s="5">
        <v>22.055769230769233</v>
      </c>
      <c r="F27" s="3">
        <v>0</v>
      </c>
      <c r="G27" s="3">
        <f t="shared" si="0"/>
        <v>0</v>
      </c>
      <c r="H27" s="3">
        <v>0</v>
      </c>
      <c r="I27">
        <v>0</v>
      </c>
      <c r="J27" s="3">
        <v>0</v>
      </c>
      <c r="K27" s="4">
        <v>0</v>
      </c>
    </row>
    <row r="28" spans="1:11">
      <c r="A28" t="s">
        <v>36</v>
      </c>
      <c r="B28" s="3">
        <v>564.54</v>
      </c>
      <c r="C28" s="3">
        <v>0.7577718120805369</v>
      </c>
      <c r="D28" s="5">
        <v>16.604117647058821</v>
      </c>
      <c r="E28" s="5">
        <v>94.089999999999989</v>
      </c>
      <c r="F28" s="3">
        <v>564.54</v>
      </c>
      <c r="G28" s="3">
        <f t="shared" si="0"/>
        <v>0.16666666666666666</v>
      </c>
      <c r="H28" s="3">
        <v>250</v>
      </c>
      <c r="I28">
        <v>0</v>
      </c>
      <c r="J28" s="3">
        <v>250</v>
      </c>
      <c r="K28" s="4">
        <v>0.44283841711836186</v>
      </c>
    </row>
    <row r="29" spans="1:11">
      <c r="A29" t="s">
        <v>37</v>
      </c>
      <c r="B29" s="3">
        <v>560.19964900000014</v>
      </c>
      <c r="C29" s="3">
        <v>1.1226445871743489</v>
      </c>
      <c r="D29" s="5">
        <v>43.092280692307703</v>
      </c>
      <c r="E29" s="5">
        <v>280.09982450000007</v>
      </c>
      <c r="F29" s="3">
        <v>0</v>
      </c>
      <c r="G29" s="3">
        <f t="shared" si="0"/>
        <v>0</v>
      </c>
      <c r="H29" s="3">
        <v>0</v>
      </c>
      <c r="I29">
        <v>0</v>
      </c>
      <c r="J29" s="3">
        <v>0</v>
      </c>
      <c r="K29" s="4">
        <v>0</v>
      </c>
    </row>
    <row r="30" spans="1:11">
      <c r="A30" t="s">
        <v>38</v>
      </c>
      <c r="B30" s="3">
        <v>132.19</v>
      </c>
      <c r="C30" s="3">
        <v>0.12686180422264876</v>
      </c>
      <c r="D30" s="5">
        <v>1.9157971014492754</v>
      </c>
      <c r="E30" s="5">
        <v>5.0842307692307696</v>
      </c>
      <c r="F30" s="3">
        <v>0</v>
      </c>
      <c r="G30" s="3">
        <f t="shared" si="0"/>
        <v>0</v>
      </c>
      <c r="H30" s="3">
        <v>0</v>
      </c>
      <c r="I30">
        <v>0</v>
      </c>
      <c r="J30" s="3">
        <v>0</v>
      </c>
      <c r="K30" s="4">
        <v>0</v>
      </c>
    </row>
    <row r="31" spans="1:11">
      <c r="A31" t="s">
        <v>39</v>
      </c>
      <c r="B31" s="3">
        <v>75.12</v>
      </c>
      <c r="C31" s="3">
        <v>4.1733333333333338</v>
      </c>
      <c r="D31" s="5">
        <v>0</v>
      </c>
      <c r="E31" s="5">
        <v>0</v>
      </c>
      <c r="F31" s="3">
        <v>75.12</v>
      </c>
      <c r="G31" s="3">
        <f t="shared" si="0"/>
        <v>0</v>
      </c>
      <c r="H31" s="3">
        <v>2000</v>
      </c>
      <c r="I31">
        <v>1800</v>
      </c>
      <c r="J31" s="3">
        <v>3800</v>
      </c>
      <c r="K31" s="4">
        <v>50.585729499467519</v>
      </c>
    </row>
    <row r="32" spans="1:11">
      <c r="A32" t="s">
        <v>40</v>
      </c>
      <c r="B32" s="3">
        <v>59.88</v>
      </c>
      <c r="C32" s="3">
        <v>1.5757894736842106</v>
      </c>
      <c r="D32" s="5">
        <v>11.976000000000001</v>
      </c>
      <c r="E32" s="5">
        <v>14.97</v>
      </c>
      <c r="F32" s="3">
        <v>29.94</v>
      </c>
      <c r="G32" s="3">
        <f t="shared" si="0"/>
        <v>0.5</v>
      </c>
      <c r="H32" s="3">
        <v>40.581155000000003</v>
      </c>
      <c r="I32">
        <v>60471.016814383001</v>
      </c>
      <c r="J32" s="3">
        <v>32953.999198686768</v>
      </c>
      <c r="K32" s="4">
        <v>550.33398795402081</v>
      </c>
    </row>
    <row r="33" spans="1:11">
      <c r="A33" s="1" t="s">
        <v>41</v>
      </c>
      <c r="B33" s="6">
        <v>82325.489010999983</v>
      </c>
      <c r="C33" s="6">
        <v>0.91646894667646284</v>
      </c>
      <c r="D33" s="8">
        <v>54.090334435611027</v>
      </c>
      <c r="E33" s="8">
        <v>167.32822969715448</v>
      </c>
      <c r="F33" s="6">
        <v>3742.0676823181825</v>
      </c>
      <c r="G33" s="3">
        <f t="shared" si="0"/>
        <v>4.4715447154471538E-2</v>
      </c>
      <c r="H33" s="6">
        <v>1351.9563604023665</v>
      </c>
      <c r="I33" s="1">
        <v>113854.56110283108</v>
      </c>
      <c r="J33" s="6">
        <v>44707.979815662504</v>
      </c>
      <c r="K33" s="7">
        <v>0.5430636410758376</v>
      </c>
    </row>
  </sheetData>
  <pageMargins left="0.7" right="0.7" top="0.75" bottom="0.75" header="0.3" footer="0.3"/>
  <headerFooter>
    <oddFooter>&amp;L_x000D_&amp;1#&amp;"Aptos"&amp;7&amp;K0000FF Internal Use Only: This email contains information intended solely for internal business purposes.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Nathani</cp:lastModifiedBy>
  <dcterms:created xsi:type="dcterms:W3CDTF">2026-09-09T18:05:53Z</dcterms:created>
  <dcterms:modified xsi:type="dcterms:W3CDTF">2026-09-09T18:05:53Z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31082-4a94-49df-9fb9-c560f8c5fdd6_Enabled">
    <vt:lpwstr>true</vt:lpwstr>
  </property>
  <property fmtid="{D5CDD505-2E9C-101B-9397-08002B2CF9AE}" pid="3" name="MSIP_Label_c8031082-4a94-49df-9fb9-c560f8c5fdd6_SetDate">
    <vt:lpwstr>2026-09-09T18:05:07Z</vt:lpwstr>
  </property>
  <property fmtid="{D5CDD505-2E9C-101B-9397-08002B2CF9AE}" pid="4" name="MSIP_Label_c8031082-4a94-49df-9fb9-c560f8c5fdd6_Method">
    <vt:lpwstr>Standard</vt:lpwstr>
  </property>
  <property fmtid="{D5CDD505-2E9C-101B-9397-08002B2CF9AE}" pid="5" name="MSIP_Label_c8031082-4a94-49df-9fb9-c560f8c5fdd6_Name">
    <vt:lpwstr>Internal</vt:lpwstr>
  </property>
  <property fmtid="{D5CDD505-2E9C-101B-9397-08002B2CF9AE}" pid="6" name="MSIP_Label_c8031082-4a94-49df-9fb9-c560f8c5fdd6_SiteId">
    <vt:lpwstr>0bab8eb0-b94d-4992-aa17-04064768c392</vt:lpwstr>
  </property>
  <property fmtid="{D5CDD505-2E9C-101B-9397-08002B2CF9AE}" pid="7" name="MSIP_Label_c8031082-4a94-49df-9fb9-c560f8c5fdd6_ActionId">
    <vt:lpwstr>0dca2fc2-2097-4a78-9bfd-29c99fb532d4</vt:lpwstr>
  </property>
  <property fmtid="{D5CDD505-2E9C-101B-9397-08002B2CF9AE}" pid="8" name="MSIP_Label_c8031082-4a94-49df-9fb9-c560f8c5fdd6_ContentBits">
    <vt:lpwstr>2</vt:lpwstr>
  </property>
  <property fmtid="{D5CDD505-2E9C-101B-9397-08002B2CF9AE}" pid="9" name="MSIP_Label_c8031082-4a94-49df-9fb9-c560f8c5fdd6_Tag">
    <vt:lpwstr>50, 3, 0, 1</vt:lpwstr>
  </property>
</Properties>
</file>