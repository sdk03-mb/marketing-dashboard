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warya.nathani/Downloads/"/>
    </mc:Choice>
  </mc:AlternateContent>
  <xr:revisionPtr revIDLastSave="0" documentId="8_{9ADE18BC-A20A-354E-A055-94B7754FCB95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Ex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<sst xmlns="http://schemas.openxmlformats.org/spreadsheetml/2006/main" count="38" uniqueCount="38">
  <si>
    <t>Country</t>
  </si>
  <si>
    <t>Spent $</t>
  </si>
  <si>
    <t>CPC $</t>
  </si>
  <si>
    <t>CPL $</t>
  </si>
  <si>
    <t>CPA $</t>
  </si>
  <si>
    <t>CPFA $</t>
  </si>
  <si>
    <t>Average Account Size $</t>
  </si>
  <si>
    <t>Re-Deposit $</t>
  </si>
  <si>
    <t>Total NMI $</t>
  </si>
  <si>
    <t>ROI (NMI)</t>
  </si>
  <si>
    <t>Australia</t>
  </si>
  <si>
    <t>Germany</t>
  </si>
  <si>
    <t>KSA</t>
  </si>
  <si>
    <t>Canada</t>
  </si>
  <si>
    <t>UAE</t>
  </si>
  <si>
    <t>Spain</t>
  </si>
  <si>
    <t>Switzerland</t>
  </si>
  <si>
    <t>South Africa</t>
  </si>
  <si>
    <t>Morocco</t>
  </si>
  <si>
    <t>Tunisia</t>
  </si>
  <si>
    <t>India</t>
  </si>
  <si>
    <t>Oman</t>
  </si>
  <si>
    <t>Italy</t>
  </si>
  <si>
    <t>Greece</t>
  </si>
  <si>
    <t>Netherlands</t>
  </si>
  <si>
    <t>Qatar</t>
  </si>
  <si>
    <t>Poland</t>
  </si>
  <si>
    <t>Sweden</t>
  </si>
  <si>
    <t>Norway</t>
  </si>
  <si>
    <t>Kazakhstan</t>
  </si>
  <si>
    <t>Turkey</t>
  </si>
  <si>
    <t>France</t>
  </si>
  <si>
    <t>Other</t>
  </si>
  <si>
    <t>Argentina</t>
  </si>
  <si>
    <t>Mexico</t>
  </si>
  <si>
    <t>Russia</t>
  </si>
  <si>
    <t>Total</t>
  </si>
  <si>
    <t>CPA / CPFA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</si>
</sst>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\$#,##0.00"/>
    <numFmt numFmtId="165" formatCode="0.00%;\-0.00%;0.00%"/>
    <numFmt numFmtId="166" formatCode="\$#,##0;\(\$#,##0\);\$#,##0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N7" sqref="N7"/>
    </sheetView>
  </sheetViews>
  <sheetFormatPr baseColWidth="10" defaultRowHeight="16"/>
  <cols>
    <col min="8" max="8" width="17" customWidth="1"/>
    <col min="9" max="9" width="15.5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37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t="s">
        <v>10</v>
      </c>
      <c r="B2" s="3">
        <v>16223.359710000006</v>
      </c>
      <c r="C2" s="3">
        <v>13.474551254152829</v>
      </c>
      <c r="D2" s="5">
        <v>202.79199637500008</v>
      </c>
      <c r="E2" s="5">
        <v>853.86103736842142</v>
      </c>
      <c r="F2" s="3">
        <v>4055.8399275000015</v>
      </c>
      <c r="G2" s="3">
        <f>IFERROR(E2/F2, 0)</f>
        <v>0.2105263157894737</v>
      </c>
      <c r="H2" s="3">
        <v>283.19400000000002</v>
      </c>
      <c r="I2">
        <v>31374.278762199996</v>
      </c>
      <c r="J2" s="3">
        <v>25942.651962199998</v>
      </c>
      <c r="K2" s="4">
        <v>1.5990924460738587</v>
      </c>
    </row>
    <row r="3" spans="1:11">
      <c r="A3" t="s">
        <v>11</v>
      </c>
      <c r="B3" s="3">
        <v>15297.027995000002</v>
      </c>
      <c r="C3" s="3">
        <v>7.1817032840375594</v>
      </c>
      <c r="D3" s="5">
        <v>144.31158485849059</v>
      </c>
      <c r="E3" s="5">
        <v>325.46868074468091</v>
      </c>
      <c r="F3" s="3">
        <v>1699.6697772222224</v>
      </c>
      <c r="G3" s="3">
        <f t="shared" ref="G3:G28" si="0">IFERROR(E3/F3, 0)</f>
        <v>0.19148936170212769</v>
      </c>
      <c r="H3" s="3">
        <v>151.02461111111111</v>
      </c>
      <c r="I3">
        <v>24240.212543000001</v>
      </c>
      <c r="J3" s="3">
        <v>-4047.981066999997</v>
      </c>
      <c r="K3" s="4">
        <v>-0.26462532907196895</v>
      </c>
    </row>
    <row r="4" spans="1:11">
      <c r="A4" t="s">
        <v>12</v>
      </c>
      <c r="B4" s="3">
        <v>13784.251322000002</v>
      </c>
      <c r="C4" s="3">
        <v>6.0088279520488239</v>
      </c>
      <c r="D4" s="5">
        <v>124.18244434234236</v>
      </c>
      <c r="E4" s="5">
        <v>293.28194302127662</v>
      </c>
      <c r="F4" s="3">
        <v>4594.7504406666676</v>
      </c>
      <c r="G4" s="3">
        <f t="shared" si="0"/>
        <v>6.3829787234042548E-2</v>
      </c>
      <c r="H4" s="3">
        <v>50</v>
      </c>
      <c r="I4">
        <v>39000.78</v>
      </c>
      <c r="J4" s="3">
        <v>31179</v>
      </c>
      <c r="K4" s="4">
        <v>2.2619291589843225</v>
      </c>
    </row>
    <row r="5" spans="1:11">
      <c r="A5" t="s">
        <v>13</v>
      </c>
      <c r="B5" s="3">
        <v>12787.914577</v>
      </c>
      <c r="C5" s="3">
        <v>17.050552769333333</v>
      </c>
      <c r="D5" s="5">
        <v>250.74342307843136</v>
      </c>
      <c r="E5" s="5">
        <v>710.43969872222215</v>
      </c>
      <c r="F5" s="3">
        <v>3196.9786442499999</v>
      </c>
      <c r="G5" s="3">
        <f t="shared" si="0"/>
        <v>0.22222222222222221</v>
      </c>
      <c r="H5" s="3">
        <v>94.319525113719749</v>
      </c>
      <c r="I5">
        <v>5761.9362771777933</v>
      </c>
      <c r="J5" s="3">
        <v>-3898.7770374230104</v>
      </c>
      <c r="K5" s="4">
        <v>-0.30487981554359506</v>
      </c>
    </row>
    <row r="6" spans="1:11">
      <c r="A6" t="s">
        <v>14</v>
      </c>
      <c r="B6" s="3">
        <v>11866.955620999999</v>
      </c>
      <c r="C6" s="3">
        <v>9.601096780744335</v>
      </c>
      <c r="D6" s="5">
        <v>237.33911241999999</v>
      </c>
      <c r="E6" s="5">
        <v>741.68472631249995</v>
      </c>
      <c r="F6" s="3">
        <v>2966.7389052499998</v>
      </c>
      <c r="G6" s="3">
        <f t="shared" si="0"/>
        <v>0.25</v>
      </c>
      <c r="H6" s="3">
        <v>2334.4324999999999</v>
      </c>
      <c r="I6">
        <v>683487.22482993198</v>
      </c>
      <c r="J6" s="3">
        <v>557597.42823129252</v>
      </c>
      <c r="K6" s="4">
        <v>46.987403175634796</v>
      </c>
    </row>
    <row r="7" spans="1:11">
      <c r="A7" t="s">
        <v>15</v>
      </c>
      <c r="B7" s="3">
        <v>10757.848634</v>
      </c>
      <c r="C7" s="3">
        <v>5.3548275928322546</v>
      </c>
      <c r="D7" s="5">
        <v>93.546509860869563</v>
      </c>
      <c r="E7" s="5">
        <v>250.18252637209301</v>
      </c>
      <c r="F7" s="3">
        <v>1792.9747723333332</v>
      </c>
      <c r="G7" s="3">
        <f t="shared" si="0"/>
        <v>0.13953488372093023</v>
      </c>
      <c r="H7" s="3">
        <v>231.631</v>
      </c>
      <c r="I7">
        <v>12647.076889999993</v>
      </c>
      <c r="J7" s="3">
        <v>7756.544449999993</v>
      </c>
      <c r="K7" s="4">
        <v>0.72101260334576234</v>
      </c>
    </row>
    <row r="8" spans="1:11">
      <c r="A8" t="s">
        <v>16</v>
      </c>
      <c r="B8" s="3">
        <v>9719.3743310000045</v>
      </c>
      <c r="C8" s="3">
        <v>18.167054824299075</v>
      </c>
      <c r="D8" s="5">
        <v>359.97682707407427</v>
      </c>
      <c r="E8" s="5">
        <v>1079.9304812222226</v>
      </c>
      <c r="F8" s="3">
        <v>0</v>
      </c>
      <c r="G8" s="3">
        <f t="shared" si="0"/>
        <v>0</v>
      </c>
      <c r="H8" s="3">
        <v>0</v>
      </c>
      <c r="I8">
        <v>2313.2611111111</v>
      </c>
      <c r="J8" s="3">
        <v>1566.1095330482699</v>
      </c>
      <c r="K8" s="4">
        <v>0.16113275193580659</v>
      </c>
    </row>
    <row r="9" spans="1:11">
      <c r="A9" t="s">
        <v>17</v>
      </c>
      <c r="B9" s="3">
        <v>4208.7396719999997</v>
      </c>
      <c r="C9" s="3">
        <v>6.8882809689034366</v>
      </c>
      <c r="D9" s="5">
        <v>35.36756026890756</v>
      </c>
      <c r="E9" s="5">
        <v>120.2497049142857</v>
      </c>
      <c r="F9" s="3">
        <v>0</v>
      </c>
      <c r="G9" s="3">
        <f t="shared" si="0"/>
        <v>0</v>
      </c>
      <c r="H9" s="3">
        <v>0</v>
      </c>
      <c r="I9">
        <v>0</v>
      </c>
      <c r="J9" s="3">
        <v>0</v>
      </c>
      <c r="K9" s="4">
        <v>0</v>
      </c>
    </row>
    <row r="10" spans="1:11">
      <c r="A10" t="s">
        <v>18</v>
      </c>
      <c r="B10" s="3">
        <v>4038.121533999999</v>
      </c>
      <c r="C10" s="3">
        <v>6.7640226700167485</v>
      </c>
      <c r="D10" s="5">
        <v>103.54157779487177</v>
      </c>
      <c r="E10" s="5">
        <v>288.43725242857136</v>
      </c>
      <c r="F10" s="3">
        <v>0</v>
      </c>
      <c r="G10" s="3">
        <f t="shared" si="0"/>
        <v>0</v>
      </c>
      <c r="H10" s="3">
        <v>0</v>
      </c>
      <c r="I10">
        <v>0</v>
      </c>
      <c r="J10" s="3">
        <v>0</v>
      </c>
      <c r="K10" s="4">
        <v>0</v>
      </c>
    </row>
    <row r="11" spans="1:11">
      <c r="A11" t="s">
        <v>19</v>
      </c>
      <c r="B11" s="3">
        <v>3483.4538850000008</v>
      </c>
      <c r="C11" s="3">
        <v>11.888921109215019</v>
      </c>
      <c r="D11" s="5">
        <v>174.17269425000003</v>
      </c>
      <c r="E11" s="5">
        <v>696.69077700000014</v>
      </c>
      <c r="F11" s="3">
        <v>3483.4538850000008</v>
      </c>
      <c r="G11" s="3">
        <f t="shared" si="0"/>
        <v>0.19999999999999998</v>
      </c>
      <c r="H11" s="3">
        <v>184.38</v>
      </c>
      <c r="I11">
        <v>0</v>
      </c>
      <c r="J11" s="3">
        <v>184.38</v>
      </c>
      <c r="K11" s="4">
        <v>5.2930225599929236E-2</v>
      </c>
    </row>
    <row r="12" spans="1:11">
      <c r="A12" t="s">
        <v>20</v>
      </c>
      <c r="B12" s="3">
        <v>3150.5492449999997</v>
      </c>
      <c r="C12" s="3">
        <v>6.1414215302144246</v>
      </c>
      <c r="D12" s="5">
        <v>225.03923178571426</v>
      </c>
      <c r="E12" s="5">
        <v>1050.1830816666666</v>
      </c>
      <c r="F12" s="3">
        <v>0</v>
      </c>
      <c r="G12" s="3">
        <f t="shared" si="0"/>
        <v>0</v>
      </c>
      <c r="H12" s="3">
        <v>0</v>
      </c>
      <c r="I12">
        <v>0</v>
      </c>
      <c r="J12" s="3">
        <v>0</v>
      </c>
      <c r="K12" s="4">
        <v>0</v>
      </c>
    </row>
    <row r="13" spans="1:11">
      <c r="A13" t="s">
        <v>21</v>
      </c>
      <c r="B13" s="3">
        <v>3094.3806680000007</v>
      </c>
      <c r="C13" s="3">
        <v>7.0326833363636378</v>
      </c>
      <c r="D13" s="5">
        <v>182.02239223529415</v>
      </c>
      <c r="E13" s="5">
        <v>1547.1903340000003</v>
      </c>
      <c r="F13" s="3">
        <v>0</v>
      </c>
      <c r="G13" s="3">
        <f t="shared" si="0"/>
        <v>0</v>
      </c>
      <c r="H13" s="3">
        <v>0</v>
      </c>
      <c r="I13">
        <v>0</v>
      </c>
      <c r="J13" s="3">
        <v>0</v>
      </c>
      <c r="K13" s="4">
        <v>0</v>
      </c>
    </row>
    <row r="14" spans="1:11">
      <c r="A14" t="s">
        <v>22</v>
      </c>
      <c r="B14" s="3">
        <v>3078.0459300000002</v>
      </c>
      <c r="C14" s="3">
        <v>6.8860087919463089</v>
      </c>
      <c r="D14" s="5">
        <v>1026.01531</v>
      </c>
      <c r="E14" s="5">
        <v>1539.0229650000001</v>
      </c>
      <c r="F14" s="3">
        <v>0</v>
      </c>
      <c r="G14" s="3">
        <f t="shared" si="0"/>
        <v>0</v>
      </c>
      <c r="H14" s="3">
        <v>0</v>
      </c>
      <c r="I14">
        <v>0</v>
      </c>
      <c r="J14" s="3">
        <v>0</v>
      </c>
      <c r="K14" s="4">
        <v>0</v>
      </c>
    </row>
    <row r="15" spans="1:11">
      <c r="A15" t="s">
        <v>23</v>
      </c>
      <c r="B15" s="3">
        <v>2409.2801960000006</v>
      </c>
      <c r="C15" s="3">
        <v>7.8734646928104599</v>
      </c>
      <c r="D15" s="5">
        <v>301.16002450000008</v>
      </c>
      <c r="E15" s="5">
        <v>2409.2801960000006</v>
      </c>
      <c r="F15" s="3">
        <v>0</v>
      </c>
      <c r="G15" s="3">
        <f t="shared" si="0"/>
        <v>0</v>
      </c>
      <c r="H15" s="3">
        <v>0</v>
      </c>
      <c r="I15">
        <v>0</v>
      </c>
      <c r="J15" s="3">
        <v>0</v>
      </c>
      <c r="K15" s="4">
        <v>0</v>
      </c>
    </row>
    <row r="16" spans="1:11">
      <c r="A16" t="s">
        <v>24</v>
      </c>
      <c r="B16" s="3">
        <v>2344.471669</v>
      </c>
      <c r="C16" s="3">
        <v>12.147521601036269</v>
      </c>
      <c r="D16" s="5">
        <v>781.4905563333333</v>
      </c>
      <c r="E16" s="5">
        <v>2344.471669</v>
      </c>
      <c r="F16" s="3">
        <v>0</v>
      </c>
      <c r="G16" s="3">
        <f t="shared" si="0"/>
        <v>0</v>
      </c>
      <c r="H16" s="3">
        <v>0</v>
      </c>
      <c r="I16">
        <v>0</v>
      </c>
      <c r="J16" s="3">
        <v>0</v>
      </c>
      <c r="K16" s="4">
        <v>0</v>
      </c>
    </row>
    <row r="17" spans="1:11">
      <c r="A17" t="s">
        <v>25</v>
      </c>
      <c r="B17" s="3">
        <v>2340.5665469999994</v>
      </c>
      <c r="C17" s="3">
        <v>7.0498992379518057</v>
      </c>
      <c r="D17" s="5">
        <v>111.45554985714283</v>
      </c>
      <c r="E17" s="5">
        <v>390.09442449999989</v>
      </c>
      <c r="F17" s="3">
        <v>0</v>
      </c>
      <c r="G17" s="3">
        <f t="shared" si="0"/>
        <v>0</v>
      </c>
      <c r="H17" s="3">
        <v>0</v>
      </c>
      <c r="I17">
        <v>0</v>
      </c>
      <c r="J17" s="3">
        <v>0</v>
      </c>
      <c r="K17" s="4">
        <v>0</v>
      </c>
    </row>
    <row r="18" spans="1:11">
      <c r="A18" t="s">
        <v>26</v>
      </c>
      <c r="B18" s="3">
        <v>2247.5459799999999</v>
      </c>
      <c r="C18" s="3">
        <v>7.0235811874999996</v>
      </c>
      <c r="D18" s="5">
        <v>224.75459799999999</v>
      </c>
      <c r="E18" s="5">
        <v>449.50919599999997</v>
      </c>
      <c r="F18" s="3">
        <v>0</v>
      </c>
      <c r="G18" s="3">
        <f t="shared" si="0"/>
        <v>0</v>
      </c>
      <c r="H18" s="3">
        <v>0</v>
      </c>
      <c r="I18">
        <v>0</v>
      </c>
      <c r="J18" s="3">
        <v>0</v>
      </c>
      <c r="K18" s="4">
        <v>0</v>
      </c>
    </row>
    <row r="19" spans="1:11">
      <c r="A19" t="s">
        <v>27</v>
      </c>
      <c r="B19" s="3">
        <v>1939.5736199999997</v>
      </c>
      <c r="C19" s="3">
        <v>12.353972101910825</v>
      </c>
      <c r="D19" s="5">
        <v>277.08194571428567</v>
      </c>
      <c r="E19" s="5">
        <v>969.78680999999983</v>
      </c>
      <c r="F19" s="3">
        <v>0</v>
      </c>
      <c r="G19" s="3">
        <f t="shared" si="0"/>
        <v>0</v>
      </c>
      <c r="H19" s="3">
        <v>0</v>
      </c>
      <c r="I19">
        <v>0</v>
      </c>
      <c r="J19" s="3">
        <v>0</v>
      </c>
      <c r="K19" s="4">
        <v>0</v>
      </c>
    </row>
    <row r="20" spans="1:11">
      <c r="A20" t="s">
        <v>28</v>
      </c>
      <c r="B20" s="3">
        <v>1753.2123619999998</v>
      </c>
      <c r="C20" s="3">
        <v>25.782534735294114</v>
      </c>
      <c r="D20" s="5">
        <v>876.60618099999988</v>
      </c>
      <c r="E20" s="5">
        <v>1753.2123619999998</v>
      </c>
      <c r="F20" s="3">
        <v>0</v>
      </c>
      <c r="G20" s="3">
        <f t="shared" si="0"/>
        <v>0</v>
      </c>
      <c r="H20" s="3">
        <v>0</v>
      </c>
      <c r="I20">
        <v>0</v>
      </c>
      <c r="J20" s="3">
        <v>0</v>
      </c>
      <c r="K20" s="4">
        <v>0</v>
      </c>
    </row>
    <row r="21" spans="1:11">
      <c r="A21" t="s">
        <v>29</v>
      </c>
      <c r="B21" s="3">
        <v>1500.501307</v>
      </c>
      <c r="C21" s="3">
        <v>11.542317746153847</v>
      </c>
      <c r="D21" s="5">
        <v>115.42317746153846</v>
      </c>
      <c r="E21" s="5">
        <v>500.16710233333333</v>
      </c>
      <c r="F21" s="3">
        <v>0</v>
      </c>
      <c r="G21" s="3">
        <f t="shared" si="0"/>
        <v>0</v>
      </c>
      <c r="H21" s="3">
        <v>0</v>
      </c>
      <c r="I21">
        <v>0</v>
      </c>
      <c r="J21" s="3">
        <v>0</v>
      </c>
      <c r="K21" s="4">
        <v>0</v>
      </c>
    </row>
    <row r="22" spans="1:11">
      <c r="A22" t="s">
        <v>30</v>
      </c>
      <c r="B22" s="3">
        <v>665.83116199999995</v>
      </c>
      <c r="C22" s="3">
        <v>4.6561619720279719</v>
      </c>
      <c r="D22" s="5">
        <v>0</v>
      </c>
      <c r="E22" s="5">
        <v>0</v>
      </c>
      <c r="F22" s="3">
        <v>0</v>
      </c>
      <c r="G22" s="3">
        <f t="shared" si="0"/>
        <v>0</v>
      </c>
      <c r="H22" s="3">
        <v>0</v>
      </c>
      <c r="I22">
        <v>0</v>
      </c>
      <c r="J22" s="3">
        <v>0</v>
      </c>
      <c r="K22" s="4">
        <v>0</v>
      </c>
    </row>
    <row r="23" spans="1:11">
      <c r="A23" t="s">
        <v>31</v>
      </c>
      <c r="B23" s="3">
        <v>311.96000000000004</v>
      </c>
      <c r="C23" s="3">
        <v>18.350588235294119</v>
      </c>
      <c r="D23" s="5">
        <v>311.96000000000004</v>
      </c>
      <c r="E23" s="5">
        <v>311.96000000000004</v>
      </c>
      <c r="F23" s="3">
        <v>0</v>
      </c>
      <c r="G23" s="3">
        <f t="shared" si="0"/>
        <v>0</v>
      </c>
      <c r="H23" s="3">
        <v>0</v>
      </c>
      <c r="I23">
        <v>347.5797</v>
      </c>
      <c r="J23" s="3">
        <v>238.5797</v>
      </c>
      <c r="K23" s="4">
        <v>0.76477657391973319</v>
      </c>
    </row>
    <row r="24" spans="1:11">
      <c r="A24" t="s">
        <v>32</v>
      </c>
      <c r="B24" s="3">
        <v>27.36</v>
      </c>
      <c r="C24" s="3">
        <v>13.68</v>
      </c>
      <c r="D24" s="5">
        <v>27.36</v>
      </c>
      <c r="E24" s="5">
        <v>27.36</v>
      </c>
      <c r="F24" s="3">
        <v>0</v>
      </c>
      <c r="G24" s="3">
        <f t="shared" si="0"/>
        <v>0</v>
      </c>
      <c r="H24" s="3">
        <v>0</v>
      </c>
      <c r="I24">
        <v>85785.726734149677</v>
      </c>
      <c r="J24" s="3">
        <v>73202.267900816383</v>
      </c>
      <c r="K24" s="4">
        <v>2675.5214876029381</v>
      </c>
    </row>
    <row r="25" spans="1:11">
      <c r="A25" t="s">
        <v>33</v>
      </c>
      <c r="B25" s="3">
        <v>0</v>
      </c>
      <c r="C25" s="3">
        <v>0</v>
      </c>
      <c r="D25" s="5">
        <v>0</v>
      </c>
      <c r="E25" s="5">
        <v>0</v>
      </c>
      <c r="F25" s="3">
        <v>0</v>
      </c>
      <c r="G25" s="3">
        <f t="shared" si="0"/>
        <v>0</v>
      </c>
      <c r="H25" s="3">
        <v>0</v>
      </c>
      <c r="I25">
        <v>1050</v>
      </c>
      <c r="J25" s="3">
        <v>-1325.1099999999997</v>
      </c>
      <c r="K25" s="4">
        <v>0</v>
      </c>
    </row>
    <row r="26" spans="1:11">
      <c r="A26" t="s">
        <v>34</v>
      </c>
      <c r="B26" s="3">
        <v>0</v>
      </c>
      <c r="C26" s="3">
        <v>0</v>
      </c>
      <c r="D26" s="5">
        <v>0</v>
      </c>
      <c r="E26" s="5">
        <v>0</v>
      </c>
      <c r="F26" s="3">
        <v>0</v>
      </c>
      <c r="G26" s="3">
        <f t="shared" si="0"/>
        <v>0</v>
      </c>
      <c r="H26" s="3">
        <v>0</v>
      </c>
      <c r="I26">
        <v>100</v>
      </c>
      <c r="J26" s="3">
        <v>100</v>
      </c>
      <c r="K26" s="4">
        <v>0</v>
      </c>
    </row>
    <row r="27" spans="1:11">
      <c r="A27" t="s">
        <v>35</v>
      </c>
      <c r="B27" s="3">
        <v>0</v>
      </c>
      <c r="C27" s="3">
        <v>0</v>
      </c>
      <c r="D27" s="5">
        <v>0</v>
      </c>
      <c r="E27" s="5">
        <v>0</v>
      </c>
      <c r="F27" s="3">
        <v>0</v>
      </c>
      <c r="G27" s="3">
        <f t="shared" si="0"/>
        <v>0</v>
      </c>
      <c r="H27" s="3">
        <v>0</v>
      </c>
      <c r="I27">
        <v>348.82499999999999</v>
      </c>
      <c r="J27" s="3">
        <v>348.82499999999999</v>
      </c>
      <c r="K27" s="4">
        <v>0</v>
      </c>
    </row>
    <row r="28" spans="1:11">
      <c r="A28" s="1" t="s">
        <v>36</v>
      </c>
      <c r="B28" s="6">
        <v>127030.325967</v>
      </c>
      <c r="C28" s="6">
        <v>8.625675695457323</v>
      </c>
      <c r="D28" s="8">
        <v>155.29379702567238</v>
      </c>
      <c r="E28" s="8">
        <v>452.06521696441251</v>
      </c>
      <c r="F28" s="6">
        <v>4097.7524505483843</v>
      </c>
      <c r="G28" s="3">
        <f t="shared" si="0"/>
        <v>0.1103202846975089</v>
      </c>
      <c r="H28" s="6">
        <v>449.39263227273801</v>
      </c>
      <c r="I28" s="1">
        <v>886456.90184757055</v>
      </c>
      <c r="J28" s="6">
        <v>688843.91867293417</v>
      </c>
      <c r="K28" s="7">
        <v>5.4226729989804356</v>
      </c>
    </row>
  </sheetData>
  <pageMargins left="0.7" right="0.7" top="0.75" bottom="0.75" header="0.3" footer="0.3"/>
  <headerFooter>
    <oddFooter>&amp;L_x000D_&amp;1#&amp;"Aptos"&amp;7&amp;K0000FF Internal Use Only: This email contains information intended solely for internal business purposes.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Nathani</cp:lastModifiedBy>
  <dcterms:created xsi:type="dcterms:W3CDTF">2026-09-09T18:01:09Z</dcterms:created>
  <dcterms:modified xsi:type="dcterms:W3CDTF">2026-09-09T18:01:09Z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31082-4a94-49df-9fb9-c560f8c5fdd6_Enabled">
    <vt:lpwstr>true</vt:lpwstr>
  </property>
  <property fmtid="{D5CDD505-2E9C-101B-9397-08002B2CF9AE}" pid="3" name="MSIP_Label_c8031082-4a94-49df-9fb9-c560f8c5fdd6_SetDate">
    <vt:lpwstr>2026-09-09T18:00:12Z</vt:lpwstr>
  </property>
  <property fmtid="{D5CDD505-2E9C-101B-9397-08002B2CF9AE}" pid="4" name="MSIP_Label_c8031082-4a94-49df-9fb9-c560f8c5fdd6_Method">
    <vt:lpwstr>Standard</vt:lpwstr>
  </property>
  <property fmtid="{D5CDD505-2E9C-101B-9397-08002B2CF9AE}" pid="5" name="MSIP_Label_c8031082-4a94-49df-9fb9-c560f8c5fdd6_Name">
    <vt:lpwstr>Internal</vt:lpwstr>
  </property>
  <property fmtid="{D5CDD505-2E9C-101B-9397-08002B2CF9AE}" pid="6" name="MSIP_Label_c8031082-4a94-49df-9fb9-c560f8c5fdd6_SiteId">
    <vt:lpwstr>0bab8eb0-b94d-4992-aa17-04064768c392</vt:lpwstr>
  </property>
  <property fmtid="{D5CDD505-2E9C-101B-9397-08002B2CF9AE}" pid="7" name="MSIP_Label_c8031082-4a94-49df-9fb9-c560f8c5fdd6_ActionId">
    <vt:lpwstr>94a5fd66-7474-4a34-b216-7135b41c4e71</vt:lpwstr>
  </property>
  <property fmtid="{D5CDD505-2E9C-101B-9397-08002B2CF9AE}" pid="8" name="MSIP_Label_c8031082-4a94-49df-9fb9-c560f8c5fdd6_ContentBits">
    <vt:lpwstr>2</vt:lpwstr>
  </property>
  <property fmtid="{D5CDD505-2E9C-101B-9397-08002B2CF9AE}" pid="9" name="MSIP_Label_c8031082-4a94-49df-9fb9-c560f8c5fdd6_Tag">
    <vt:lpwstr>50, 3, 0, 1</vt:lpwstr>
  </property>
</Properties>
</file>